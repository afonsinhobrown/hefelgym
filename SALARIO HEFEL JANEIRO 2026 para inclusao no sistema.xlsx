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JANEIRO" sheetId="3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<sst xmlns="http://schemas.openxmlformats.org/spreadsheetml/2006/main" count="92" uniqueCount="83">
  <si>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AV.Cordial Alexandre nº 312, Mahotas-Maputo</t>
  </si>
  <si>
    <t>NUIT:401089330</t>
  </si>
  <si>
    <t>NUEL:101286010</t>
  </si>
  <si>
    <t>Contactos: 870135981/870135980</t>
  </si>
  <si>
    <t>Folha de Salário Referente ao Mês de JANEIRO de 2026</t>
  </si>
  <si>
    <t>Ordem</t>
  </si>
  <si>
    <t>Nome do Trabalhador</t>
  </si>
  <si>
    <t>Cargo</t>
  </si>
  <si>
    <t>Contactos</t>
  </si>
  <si>
    <t>Nr de Conta BCI</t>
  </si>
  <si>
    <t>Retribuiҫões</t>
  </si>
  <si>
    <t xml:space="preserve">Descontos Estabelecidos Por Lei </t>
  </si>
  <si>
    <r>
      <rPr>
        <b/>
        <sz val="11"/>
        <color rgb="FF000000"/>
        <rFont val="Tw Cen MT"/>
        <charset val="134"/>
      </rPr>
      <t>S.L</t>
    </r>
    <r>
      <rPr>
        <b/>
        <sz val="11"/>
        <color rgb="FF000000"/>
        <rFont val="Times New Roman"/>
        <charset val="134"/>
      </rPr>
      <t>í</t>
    </r>
    <r>
      <rPr>
        <b/>
        <sz val="11"/>
        <color rgb="FF000000"/>
        <rFont val="Tw Cen MT"/>
        <charset val="134"/>
      </rPr>
      <t>quido</t>
    </r>
  </si>
  <si>
    <t>S.Base</t>
  </si>
  <si>
    <t>H.Extra</t>
  </si>
  <si>
    <t>Bônus</t>
  </si>
  <si>
    <r>
      <rPr>
        <b/>
        <sz val="11"/>
        <color rgb="FF000000"/>
        <rFont val="Tw Cen MT"/>
        <charset val="134"/>
      </rPr>
      <t>Acr</t>
    </r>
    <r>
      <rPr>
        <b/>
        <sz val="11"/>
        <color rgb="FF000000"/>
        <rFont val="Times New Roman"/>
        <charset val="134"/>
      </rPr>
      <t>é</t>
    </r>
    <r>
      <rPr>
        <b/>
        <sz val="11"/>
        <color rgb="FF000000"/>
        <rFont val="Tw Cen MT"/>
        <charset val="134"/>
      </rPr>
      <t>scimos</t>
    </r>
  </si>
  <si>
    <t>S.Bruto</t>
  </si>
  <si>
    <t>INSS 3%</t>
  </si>
  <si>
    <t>INSS 4%</t>
  </si>
  <si>
    <t>Faltas</t>
  </si>
  <si>
    <t>IRPS</t>
  </si>
  <si>
    <t>Outros</t>
  </si>
  <si>
    <t>Total de desconto</t>
  </si>
  <si>
    <t>Henriques José Bambo</t>
  </si>
  <si>
    <t>Administrador</t>
  </si>
  <si>
    <t>84-870135981</t>
  </si>
  <si>
    <t>Felícia Custódio Victorino</t>
  </si>
  <si>
    <t>Coordenadora</t>
  </si>
  <si>
    <r>
      <t>84-</t>
    </r>
    <r>
      <rPr>
        <b/>
        <sz val="11"/>
        <rFont val="Tw Cen MT"/>
        <charset val="134"/>
      </rPr>
      <t>870135982</t>
    </r>
  </si>
  <si>
    <t>Nádia Victorino Inroga Machel</t>
  </si>
  <si>
    <t>Directora Administrativa</t>
  </si>
  <si>
    <r>
      <t>844550623</t>
    </r>
    <r>
      <rPr>
        <sz val="11"/>
        <rFont val="Calibri"/>
        <charset val="134"/>
      </rPr>
      <t>/</t>
    </r>
    <r>
      <rPr>
        <b/>
        <sz val="11"/>
        <rFont val="Tw Cen MT"/>
        <charset val="134"/>
      </rPr>
      <t>874550626</t>
    </r>
  </si>
  <si>
    <r>
      <rPr>
        <sz val="11"/>
        <rFont val="Tw Cen MT"/>
        <charset val="134"/>
      </rPr>
      <t>Érica Cec</t>
    </r>
    <r>
      <rPr>
        <sz val="11"/>
        <rFont val="Times New Roman"/>
        <charset val="134"/>
      </rPr>
      <t>í</t>
    </r>
    <r>
      <rPr>
        <sz val="11"/>
        <rFont val="Tw Cen MT"/>
        <charset val="134"/>
      </rPr>
      <t>lia Henriques Bambo</t>
    </r>
  </si>
  <si>
    <r>
      <rPr>
        <sz val="11"/>
        <color rgb="FF000000"/>
        <rFont val="Tw Cen MT"/>
        <charset val="134"/>
      </rPr>
      <t>Assistente de Direc</t>
    </r>
    <r>
      <rPr>
        <sz val="11"/>
        <color rgb="FF000000"/>
        <rFont val="Trebuchet MS"/>
        <charset val="134"/>
      </rPr>
      <t>çã</t>
    </r>
    <r>
      <rPr>
        <sz val="11"/>
        <color rgb="FF000000"/>
        <rFont val="Tw Cen MT"/>
        <charset val="134"/>
      </rPr>
      <t>o</t>
    </r>
  </si>
  <si>
    <t>Januário Lissuna</t>
  </si>
  <si>
    <t>Director Técnico</t>
  </si>
  <si>
    <t>Hermelino António Ginama</t>
  </si>
  <si>
    <t>Assessor Juridico</t>
  </si>
  <si>
    <t>878532985/845329858</t>
  </si>
  <si>
    <r>
      <rPr>
        <sz val="11"/>
        <rFont val="Tw Cen MT"/>
        <charset val="134"/>
      </rPr>
      <t>Gil L</t>
    </r>
    <r>
      <rPr>
        <sz val="11"/>
        <rFont val="Times New Roman"/>
        <charset val="134"/>
      </rPr>
      <t>é</t>
    </r>
    <r>
      <rPr>
        <sz val="11"/>
        <rFont val="Tw Cen MT"/>
        <charset val="134"/>
      </rPr>
      <t>lio Cossa</t>
    </r>
  </si>
  <si>
    <r>
      <rPr>
        <sz val="11"/>
        <color rgb="FF000000"/>
        <rFont val="Tw Cen MT"/>
        <charset val="134"/>
      </rPr>
      <t>Gestor de Rela</t>
    </r>
    <r>
      <rPr>
        <sz val="11"/>
        <color rgb="FF000000"/>
        <rFont val="Trebuchet MS"/>
        <charset val="134"/>
      </rPr>
      <t>ç</t>
    </r>
    <r>
      <rPr>
        <sz val="11"/>
        <color rgb="FF000000"/>
        <rFont val="Times New Roman"/>
        <charset val="134"/>
      </rPr>
      <t>õ</t>
    </r>
    <r>
      <rPr>
        <sz val="11"/>
        <color rgb="FF000000"/>
        <rFont val="Tw Cen MT"/>
        <charset val="134"/>
      </rPr>
      <t>es P</t>
    </r>
    <r>
      <rPr>
        <sz val="11"/>
        <color rgb="FF000000"/>
        <rFont val="Times New Roman"/>
        <charset val="134"/>
      </rPr>
      <t>ú</t>
    </r>
    <r>
      <rPr>
        <sz val="11"/>
        <color rgb="FF000000"/>
        <rFont val="Tw Cen MT"/>
        <charset val="134"/>
      </rPr>
      <t>blicas e Marketing</t>
    </r>
  </si>
  <si>
    <t>Julia Canhavane</t>
  </si>
  <si>
    <t>Intrutora</t>
  </si>
  <si>
    <t>Armando Machel Júnior</t>
  </si>
  <si>
    <t>Monitor</t>
  </si>
  <si>
    <t>David Elias Jozine</t>
  </si>
  <si>
    <t>Sebastião Daniel Mathlula</t>
  </si>
  <si>
    <r>
      <t>848164386/</t>
    </r>
    <r>
      <rPr>
        <b/>
        <sz val="11"/>
        <rFont val="Tw Cen MT"/>
        <charset val="134"/>
      </rPr>
      <t>872164386</t>
    </r>
  </si>
  <si>
    <t>Alberto Agostinho Massalane</t>
  </si>
  <si>
    <t xml:space="preserve">Monitor </t>
  </si>
  <si>
    <r>
      <t>844568357</t>
    </r>
    <r>
      <rPr>
        <sz val="11"/>
        <rFont val="Times New Roman"/>
        <charset val="134"/>
      </rPr>
      <t>/</t>
    </r>
    <r>
      <rPr>
        <sz val="11"/>
        <rFont val="Tw Cen MT"/>
        <charset val="134"/>
      </rPr>
      <t>873330048</t>
    </r>
  </si>
  <si>
    <t>Vasco Saveca</t>
  </si>
  <si>
    <t>Contabilista</t>
  </si>
  <si>
    <t>Dorcidia Maoze Muguande</t>
  </si>
  <si>
    <r>
      <t>845986042</t>
    </r>
    <r>
      <rPr>
        <sz val="11"/>
        <rFont val="Times New Roman"/>
        <charset val="134"/>
      </rPr>
      <t>⁄</t>
    </r>
    <r>
      <rPr>
        <sz val="11"/>
        <rFont val="Tw Cen MT"/>
        <charset val="134"/>
      </rPr>
      <t>876462631</t>
    </r>
  </si>
  <si>
    <t>Custodio Emilio Langa</t>
  </si>
  <si>
    <r>
      <t>8697999328</t>
    </r>
    <r>
      <rPr>
        <sz val="11"/>
        <rFont val="Times New Roman"/>
        <charset val="134"/>
      </rPr>
      <t>⁄</t>
    </r>
    <r>
      <rPr>
        <sz val="11"/>
        <rFont val="Tw Cen MT"/>
        <charset val="134"/>
      </rPr>
      <t>845472688</t>
    </r>
  </si>
  <si>
    <t>Salimo Madalena Cuna</t>
  </si>
  <si>
    <t xml:space="preserve">Técn de Manutenção de Maquinas </t>
  </si>
  <si>
    <r>
      <rPr>
        <sz val="11"/>
        <rFont val="Tw Cen MT"/>
        <charset val="134"/>
      </rPr>
      <t>Vicente Salom</t>
    </r>
    <r>
      <rPr>
        <sz val="11"/>
        <rFont val="Calibri"/>
        <charset val="134"/>
      </rPr>
      <t>ã</t>
    </r>
    <r>
      <rPr>
        <sz val="11"/>
        <rFont val="Tw Cen MT"/>
        <charset val="134"/>
      </rPr>
      <t>o Nhantumbo</t>
    </r>
  </si>
  <si>
    <t>Motorista</t>
  </si>
  <si>
    <t>Casimiro António Bernardo</t>
  </si>
  <si>
    <t>Segurança/Auxiliar</t>
  </si>
  <si>
    <t>Calisto Pedro Mapsanganhe</t>
  </si>
  <si>
    <t>Segurança</t>
  </si>
  <si>
    <t xml:space="preserve">Luís Lourino Nhatumbo </t>
  </si>
  <si>
    <r>
      <rPr>
        <sz val="11"/>
        <rFont val="Tw Cen MT"/>
        <charset val="134"/>
      </rPr>
      <t>Alfredo M</t>
    </r>
    <r>
      <rPr>
        <sz val="11"/>
        <rFont val="Calibri"/>
        <charset val="134"/>
      </rPr>
      <t>á</t>
    </r>
    <r>
      <rPr>
        <sz val="11"/>
        <rFont val="Tw Cen MT"/>
        <charset val="134"/>
      </rPr>
      <t xml:space="preserve">rio Luís </t>
    </r>
  </si>
  <si>
    <t>Helena Américo Manjate</t>
  </si>
  <si>
    <t>Auxiliar</t>
  </si>
  <si>
    <t>TOTAL</t>
  </si>
  <si>
    <t xml:space="preserve"> </t>
  </si>
  <si>
    <t>Resumo da Folha</t>
  </si>
  <si>
    <t>Processada por: Dorcidia Maoze Muguande</t>
  </si>
  <si>
    <r>
      <rPr>
        <b/>
        <sz val="11"/>
        <rFont val="Tw Cen MT"/>
        <charset val="134"/>
      </rPr>
      <t>Total do Sal</t>
    </r>
    <r>
      <rPr>
        <b/>
        <sz val="11"/>
        <rFont val="Times New Roman"/>
        <charset val="134"/>
      </rPr>
      <t>á</t>
    </r>
    <r>
      <rPr>
        <b/>
        <sz val="11"/>
        <rFont val="Tw Cen MT"/>
        <charset val="134"/>
      </rPr>
      <t>rio Bruto</t>
    </r>
  </si>
  <si>
    <t>Assinatura:_________________________________Data</t>
  </si>
  <si>
    <t>Desconto INSS Trabalhador</t>
  </si>
  <si>
    <t>Verificada Por: Nádia Victorino Inroga Machel</t>
  </si>
  <si>
    <t>Aprovada Por: Henriques Jose Bambo</t>
  </si>
  <si>
    <t>Dividas diversas</t>
  </si>
  <si>
    <t>Data</t>
  </si>
  <si>
    <t>Total Descontos</t>
  </si>
  <si>
    <t>Total Liquido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</si>
</sst>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\ _€_-;\-* #,##0.00\ _€_-;_-* &quot;-&quot;??\ _€_-;_-@_-"/>
    <numFmt numFmtId="179" formatCode="#\ ?/?"/>
    <numFmt numFmtId="180" formatCode="_-* #,##0.00\ _M_T_n_-;\-* #,##0.00\ _M_T_n_-;_-* &quot;-&quot;??\ _M_T_n_-;_-@_-"/>
  </numFmts>
  <fonts count="36">
    <font>
      <sz val="1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Tw Cen MT"/>
      <charset val="134"/>
    </font>
    <font>
      <b/>
      <sz val="16"/>
      <color rgb="FF000000"/>
      <name val="Tw Cen MT"/>
      <charset val="134"/>
    </font>
    <font>
      <sz val="16"/>
      <color rgb="FF000000"/>
      <name val="Tw Cen MT"/>
      <charset val="134"/>
    </font>
    <font>
      <sz val="11"/>
      <color rgb="FF000000"/>
      <name val="Tw Cen MT"/>
      <charset val="134"/>
    </font>
    <font>
      <sz val="11"/>
      <name val="Tw Cen MT"/>
      <charset val="134"/>
    </font>
    <font>
      <b/>
      <sz val="11"/>
      <name val="Tw Cen MT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rebuchet MS"/>
      <charset val="134"/>
    </font>
    <font>
      <sz val="11"/>
      <color rgb="FF000000"/>
      <name val="Times New Roman"/>
      <charset val="134"/>
    </font>
    <font>
      <b/>
      <sz val="1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Border="0">
      <alignment vertical="center"/>
    </xf>
    <xf numFmtId="176" fontId="1" fillId="0" borderId="0" applyBorder="0">
      <alignment vertical="top"/>
      <protection locked="0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6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5" applyNumberFormat="0" applyFill="0" applyAlignment="0" applyProtection="0">
      <alignment vertical="center"/>
    </xf>
    <xf numFmtId="0" fontId="17" fillId="0" borderId="65" applyNumberFormat="0" applyFill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67" applyNumberFormat="0" applyAlignment="0" applyProtection="0">
      <alignment vertical="center"/>
    </xf>
    <xf numFmtId="0" fontId="20" fillId="13" borderId="68" applyNumberFormat="0" applyAlignment="0" applyProtection="0">
      <alignment vertical="center"/>
    </xf>
    <xf numFmtId="0" fontId="21" fillId="13" borderId="67" applyNumberFormat="0" applyAlignment="0" applyProtection="0">
      <alignment vertical="center"/>
    </xf>
    <xf numFmtId="0" fontId="22" fillId="14" borderId="69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4" fillId="0" borderId="7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 applyBorder="0">
      <protection locked="0"/>
    </xf>
    <xf numFmtId="178" fontId="30" fillId="0" borderId="0" applyBorder="0">
      <alignment vertical="top"/>
      <protection locked="0"/>
    </xf>
  </cellStyleXfs>
  <cellXfs count="12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8" xfId="49" applyFont="1" applyBorder="1" applyProtection="1"/>
    <xf numFmtId="0" fontId="5" fillId="0" borderId="18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center" vertical="center"/>
    </xf>
    <xf numFmtId="179" fontId="5" fillId="0" borderId="18" xfId="0" applyNumberFormat="1" applyFont="1" applyFill="1" applyBorder="1" applyAlignment="1">
      <alignment horizontal="center" vertical="center"/>
    </xf>
    <xf numFmtId="176" fontId="2" fillId="4" borderId="18" xfId="1" applyFont="1" applyFill="1" applyBorder="1" applyAlignment="1" applyProtection="1">
      <alignment horizontal="center" vertical="center"/>
    </xf>
    <xf numFmtId="176" fontId="2" fillId="0" borderId="19" xfId="1" applyFont="1" applyBorder="1" applyAlignment="1" applyProtection="1">
      <alignment horizontal="center" vertical="center"/>
    </xf>
    <xf numFmtId="176" fontId="2" fillId="0" borderId="18" xfId="1" applyFont="1" applyBorder="1" applyAlignment="1" applyProtection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1" xfId="49" applyFont="1" applyBorder="1" applyProtection="1"/>
    <xf numFmtId="0" fontId="5" fillId="0" borderId="21" xfId="0" applyFont="1" applyBorder="1" applyAlignment="1">
      <alignment horizontal="left" vertical="center"/>
    </xf>
    <xf numFmtId="0" fontId="6" fillId="0" borderId="21" xfId="0" applyFont="1" applyFill="1" applyBorder="1" applyAlignment="1">
      <alignment horizontal="center" vertical="center"/>
    </xf>
    <xf numFmtId="179" fontId="5" fillId="0" borderId="21" xfId="0" applyNumberFormat="1" applyFont="1" applyFill="1" applyBorder="1" applyAlignment="1">
      <alignment horizontal="center" vertical="center"/>
    </xf>
    <xf numFmtId="176" fontId="2" fillId="4" borderId="21" xfId="1" applyFont="1" applyFill="1" applyBorder="1" applyAlignment="1" applyProtection="1">
      <alignment horizontal="center" vertical="center"/>
    </xf>
    <xf numFmtId="176" fontId="2" fillId="0" borderId="22" xfId="1" applyFont="1" applyBorder="1" applyAlignment="1" applyProtection="1">
      <alignment horizontal="center" vertical="center"/>
    </xf>
    <xf numFmtId="176" fontId="2" fillId="0" borderId="21" xfId="1" applyFont="1" applyBorder="1" applyAlignment="1" applyProtection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5" fillId="0" borderId="22" xfId="1" applyFont="1" applyBorder="1" applyAlignment="1" applyProtection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/>
    </xf>
    <xf numFmtId="0" fontId="6" fillId="0" borderId="21" xfId="0" applyFont="1" applyFill="1" applyBorder="1" applyAlignment="1">
      <alignment horizontal="center"/>
    </xf>
    <xf numFmtId="179" fontId="5" fillId="0" borderId="21" xfId="0" applyNumberFormat="1" applyFont="1" applyFill="1" applyBorder="1" applyAlignment="1">
      <alignment horizontal="center"/>
    </xf>
    <xf numFmtId="176" fontId="5" fillId="0" borderId="22" xfId="1" applyFont="1" applyBorder="1" applyAlignment="1" applyProtection="1"/>
    <xf numFmtId="176" fontId="5" fillId="0" borderId="21" xfId="1" applyFont="1" applyBorder="1" applyAlignment="1" applyProtection="1"/>
    <xf numFmtId="0" fontId="7" fillId="0" borderId="21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179" fontId="6" fillId="0" borderId="21" xfId="0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6" fillId="0" borderId="21" xfId="49" applyFont="1" applyFill="1" applyBorder="1" applyProtection="1"/>
    <xf numFmtId="0" fontId="5" fillId="0" borderId="21" xfId="0" applyFont="1" applyFill="1" applyBorder="1" applyAlignment="1">
      <alignment horizontal="left" vertical="center"/>
    </xf>
    <xf numFmtId="176" fontId="2" fillId="6" borderId="21" xfId="1" applyFont="1" applyFill="1" applyBorder="1" applyAlignment="1" applyProtection="1">
      <alignment horizontal="center"/>
    </xf>
    <xf numFmtId="176" fontId="2" fillId="0" borderId="22" xfId="1" applyFont="1" applyFill="1" applyBorder="1" applyAlignment="1" applyProtection="1">
      <alignment horizontal="center" vertical="center"/>
    </xf>
    <xf numFmtId="176" fontId="2" fillId="0" borderId="21" xfId="1" applyFont="1" applyFill="1" applyBorder="1" applyAlignment="1" applyProtection="1">
      <alignment horizontal="center" vertical="center"/>
    </xf>
    <xf numFmtId="0" fontId="6" fillId="0" borderId="23" xfId="49" applyFont="1" applyBorder="1" applyProtection="1"/>
    <xf numFmtId="0" fontId="5" fillId="0" borderId="23" xfId="0" applyFont="1" applyBorder="1" applyAlignment="1">
      <alignment horizontal="left" vertical="center"/>
    </xf>
    <xf numFmtId="0" fontId="6" fillId="0" borderId="23" xfId="0" applyFont="1" applyFill="1" applyBorder="1" applyAlignment="1">
      <alignment horizontal="center" vertical="center"/>
    </xf>
    <xf numFmtId="179" fontId="5" fillId="0" borderId="23" xfId="0" applyNumberFormat="1" applyFont="1" applyFill="1" applyBorder="1" applyAlignment="1">
      <alignment horizontal="center" vertical="center"/>
    </xf>
    <xf numFmtId="176" fontId="2" fillId="6" borderId="23" xfId="1" applyFont="1" applyFill="1" applyBorder="1" applyAlignment="1" applyProtection="1">
      <alignment horizontal="center"/>
    </xf>
    <xf numFmtId="176" fontId="2" fillId="0" borderId="24" xfId="1" applyFont="1" applyBorder="1" applyAlignment="1" applyProtection="1">
      <alignment horizontal="center" vertical="center"/>
    </xf>
    <xf numFmtId="176" fontId="2" fillId="0" borderId="23" xfId="1" applyFont="1" applyBorder="1" applyAlignment="1" applyProtection="1">
      <alignment horizontal="center" vertic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176" fontId="2" fillId="7" borderId="28" xfId="1" applyFont="1" applyFill="1" applyBorder="1" applyAlignment="1" applyProtection="1"/>
    <xf numFmtId="0" fontId="5" fillId="0" borderId="0" xfId="0" applyFont="1" applyAlignment="1"/>
    <xf numFmtId="0" fontId="0" fillId="0" borderId="29" xfId="0" applyFont="1" applyBorder="1">
      <alignment vertical="center"/>
    </xf>
    <xf numFmtId="0" fontId="7" fillId="2" borderId="30" xfId="49" applyFont="1" applyFill="1" applyBorder="1" applyAlignment="1" applyProtection="1">
      <alignment horizontal="center"/>
    </xf>
    <xf numFmtId="0" fontId="7" fillId="2" borderId="16" xfId="49" applyFont="1" applyFill="1" applyBorder="1" applyAlignment="1" applyProtection="1">
      <alignment horizontal="center"/>
    </xf>
    <xf numFmtId="0" fontId="7" fillId="0" borderId="0" xfId="49" applyFont="1" applyAlignment="1" applyProtection="1">
      <alignment horizontal="center"/>
    </xf>
    <xf numFmtId="0" fontId="5" fillId="0" borderId="0" xfId="0" applyFont="1" applyAlignment="1">
      <alignment horizontal="left"/>
    </xf>
    <xf numFmtId="0" fontId="0" fillId="0" borderId="31" xfId="0" applyBorder="1" applyAlignment="1">
      <alignment horizontal="center" vertical="center"/>
    </xf>
    <xf numFmtId="0" fontId="7" fillId="8" borderId="32" xfId="49" applyFont="1" applyFill="1" applyBorder="1" applyProtection="1"/>
    <xf numFmtId="180" fontId="8" fillId="8" borderId="33" xfId="0" applyNumberFormat="1" applyFont="1" applyFill="1" applyBorder="1" applyAlignment="1">
      <alignment horizontal="right" vertical="center"/>
    </xf>
    <xf numFmtId="180" fontId="8" fillId="0" borderId="0" xfId="0" applyNumberFormat="1" applyFont="1" applyAlignment="1"/>
    <xf numFmtId="0" fontId="0" fillId="0" borderId="34" xfId="0" applyBorder="1" applyAlignment="1">
      <alignment horizontal="center" vertical="center"/>
    </xf>
    <xf numFmtId="0" fontId="6" fillId="0" borderId="35" xfId="49" applyFont="1" applyBorder="1" applyProtection="1"/>
    <xf numFmtId="180" fontId="8" fillId="0" borderId="36" xfId="0" applyNumberFormat="1" applyFont="1" applyBorder="1" applyAlignment="1">
      <alignment horizontal="right" vertical="center"/>
    </xf>
    <xf numFmtId="0" fontId="0" fillId="0" borderId="37" xfId="0" applyBorder="1" applyAlignment="1">
      <alignment horizontal="center" vertical="center"/>
    </xf>
    <xf numFmtId="0" fontId="6" fillId="0" borderId="38" xfId="49" applyFont="1" applyBorder="1" applyProtection="1"/>
    <xf numFmtId="180" fontId="8" fillId="0" borderId="39" xfId="0" applyNumberFormat="1" applyFont="1" applyBorder="1" applyAlignment="1">
      <alignment horizontal="right" vertical="center"/>
    </xf>
    <xf numFmtId="0" fontId="6" fillId="0" borderId="40" xfId="49" applyFont="1" applyBorder="1" applyProtection="1"/>
    <xf numFmtId="180" fontId="8" fillId="0" borderId="41" xfId="0" applyNumberFormat="1" applyFont="1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7" fillId="8" borderId="43" xfId="49" applyFont="1" applyFill="1" applyBorder="1" applyProtection="1"/>
    <xf numFmtId="180" fontId="9" fillId="8" borderId="44" xfId="0" applyNumberFormat="1" applyFont="1" applyFill="1" applyBorder="1">
      <alignment vertical="center"/>
    </xf>
    <xf numFmtId="0" fontId="0" fillId="0" borderId="45" xfId="0" applyBorder="1" applyAlignment="1">
      <alignment horizontal="center" vertical="center"/>
    </xf>
    <xf numFmtId="0" fontId="7" fillId="2" borderId="46" xfId="49" applyFont="1" applyFill="1" applyBorder="1" applyProtection="1"/>
    <xf numFmtId="180" fontId="9" fillId="2" borderId="47" xfId="0" applyNumberFormat="1" applyFont="1" applyFill="1" applyBorder="1">
      <alignment vertical="center"/>
    </xf>
    <xf numFmtId="0" fontId="2" fillId="3" borderId="48" xfId="0" applyFont="1" applyFill="1" applyBorder="1" applyAlignment="1">
      <alignment horizontal="center" vertical="center"/>
    </xf>
    <xf numFmtId="0" fontId="2" fillId="9" borderId="49" xfId="0" applyFont="1" applyFill="1" applyBorder="1" applyAlignment="1">
      <alignment horizontal="center"/>
    </xf>
    <xf numFmtId="0" fontId="2" fillId="9" borderId="50" xfId="0" applyFont="1" applyFill="1" applyBorder="1" applyAlignment="1">
      <alignment horizontal="center"/>
    </xf>
    <xf numFmtId="0" fontId="2" fillId="9" borderId="5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/>
    </xf>
    <xf numFmtId="0" fontId="2" fillId="9" borderId="52" xfId="0" applyFont="1" applyFill="1" applyBorder="1" applyAlignment="1">
      <alignment horizontal="center"/>
    </xf>
    <xf numFmtId="176" fontId="2" fillId="10" borderId="18" xfId="1" applyFont="1" applyFill="1" applyBorder="1" applyAlignment="1" applyProtection="1">
      <alignment horizontal="center" vertical="center"/>
    </xf>
    <xf numFmtId="176" fontId="5" fillId="0" borderId="19" xfId="1" applyFont="1" applyBorder="1" applyAlignment="1" applyProtection="1">
      <alignment horizontal="center" vertical="center"/>
    </xf>
    <xf numFmtId="176" fontId="5" fillId="0" borderId="18" xfId="1" applyFont="1" applyBorder="1" applyAlignment="1" applyProtection="1">
      <alignment horizontal="center"/>
    </xf>
    <xf numFmtId="176" fontId="2" fillId="0" borderId="53" xfId="1" applyFont="1" applyBorder="1" applyAlignment="1" applyProtection="1">
      <alignment horizontal="center"/>
    </xf>
    <xf numFmtId="176" fontId="2" fillId="0" borderId="53" xfId="1" applyFont="1" applyFill="1" applyBorder="1" applyAlignment="1" applyProtection="1">
      <alignment horizontal="center"/>
    </xf>
    <xf numFmtId="176" fontId="2" fillId="0" borderId="18" xfId="1" applyFont="1" applyFill="1" applyBorder="1" applyAlignment="1" applyProtection="1">
      <alignment vertical="center"/>
    </xf>
    <xf numFmtId="176" fontId="5" fillId="0" borderId="21" xfId="1" applyFont="1" applyBorder="1" applyAlignment="1" applyProtection="1">
      <alignment horizontal="center"/>
    </xf>
    <xf numFmtId="176" fontId="2" fillId="0" borderId="54" xfId="1" applyFont="1" applyBorder="1" applyAlignment="1" applyProtection="1">
      <alignment horizontal="center"/>
    </xf>
    <xf numFmtId="176" fontId="5" fillId="0" borderId="54" xfId="1" applyFont="1" applyFill="1" applyBorder="1" applyAlignment="1" applyProtection="1">
      <alignment horizontal="center"/>
    </xf>
    <xf numFmtId="176" fontId="2" fillId="0" borderId="21" xfId="1" applyFont="1" applyFill="1" applyBorder="1" applyAlignment="1" applyProtection="1">
      <alignment vertical="center"/>
    </xf>
    <xf numFmtId="176" fontId="2" fillId="0" borderId="54" xfId="1" applyFont="1" applyFill="1" applyBorder="1" applyAlignment="1" applyProtection="1">
      <alignment horizontal="center"/>
    </xf>
    <xf numFmtId="176" fontId="5" fillId="0" borderId="54" xfId="1" applyFont="1" applyBorder="1" applyAlignment="1" applyProtection="1"/>
    <xf numFmtId="176" fontId="5" fillId="0" borderId="19" xfId="1" applyFont="1" applyFill="1" applyBorder="1" applyAlignment="1" applyProtection="1">
      <alignment horizontal="center" vertical="center"/>
    </xf>
    <xf numFmtId="176" fontId="5" fillId="0" borderId="18" xfId="1" applyFont="1" applyFill="1" applyBorder="1" applyAlignment="1" applyProtection="1">
      <alignment horizontal="center"/>
    </xf>
    <xf numFmtId="176" fontId="5" fillId="0" borderId="21" xfId="1" applyFont="1" applyFill="1" applyBorder="1" applyAlignment="1" applyProtection="1">
      <alignment horizontal="center"/>
    </xf>
    <xf numFmtId="176" fontId="2" fillId="0" borderId="54" xfId="1" applyFont="1" applyFill="1" applyBorder="1" applyAlignment="1" applyProtection="1">
      <alignment horizontal="center"/>
    </xf>
    <xf numFmtId="176" fontId="5" fillId="0" borderId="54" xfId="1" applyFont="1" applyFill="1" applyBorder="1" applyAlignment="1" applyProtection="1">
      <alignment horizontal="center"/>
    </xf>
    <xf numFmtId="176" fontId="2" fillId="0" borderId="21" xfId="1" applyFont="1" applyFill="1" applyBorder="1" applyAlignment="1" applyProtection="1">
      <alignment vertical="center"/>
    </xf>
    <xf numFmtId="176" fontId="5" fillId="0" borderId="23" xfId="1" applyFont="1" applyBorder="1" applyAlignment="1" applyProtection="1">
      <alignment horizontal="center"/>
    </xf>
    <xf numFmtId="176" fontId="2" fillId="0" borderId="55" xfId="1" applyFont="1" applyBorder="1" applyAlignment="1" applyProtection="1">
      <alignment horizontal="center"/>
    </xf>
    <xf numFmtId="176" fontId="5" fillId="0" borderId="55" xfId="1" applyFont="1" applyFill="1" applyBorder="1" applyAlignment="1" applyProtection="1">
      <alignment horizontal="center"/>
    </xf>
    <xf numFmtId="176" fontId="2" fillId="0" borderId="23" xfId="1" applyFont="1" applyFill="1" applyBorder="1" applyAlignment="1" applyProtection="1">
      <alignment vertical="center"/>
    </xf>
    <xf numFmtId="176" fontId="2" fillId="7" borderId="56" xfId="1" applyFont="1" applyFill="1" applyBorder="1" applyAlignment="1" applyProtection="1">
      <alignment horizontal="center" vertical="center"/>
    </xf>
    <xf numFmtId="180" fontId="0" fillId="0" borderId="0" xfId="0" applyNumberFormat="1">
      <alignment vertical="center"/>
    </xf>
    <xf numFmtId="0" fontId="4" fillId="2" borderId="57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2" fillId="3" borderId="60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176" fontId="2" fillId="0" borderId="62" xfId="1" applyFont="1" applyFill="1" applyBorder="1" applyAlignment="1" applyProtection="1">
      <alignment horizontal="center" vertical="center"/>
    </xf>
    <xf numFmtId="176" fontId="2" fillId="0" borderId="62" xfId="1" applyFont="1" applyFill="1" applyBorder="1" applyAlignment="1" applyProtection="1">
      <alignment horizontal="center" vertical="center"/>
    </xf>
    <xf numFmtId="176" fontId="2" fillId="7" borderId="63" xfId="1" applyFont="1" applyFill="1" applyBorder="1" applyAlignment="1" applyProtection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Comma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332911</xdr:colOff>
      <xdr:row>1</xdr:row>
      <xdr:rowOff>113853</xdr:rowOff>
    </xdr:from>
    <xdr:to>
      <xdr:col>7</xdr:col>
      <xdr:colOff>599701</xdr:colOff>
      <xdr:row>8</xdr:row>
      <xdr:rowOff>139154</xdr:rowOff>
    </xdr:to>
    <xdr:sp>
      <xdr:nvSpPr>
        <xdr:cNvPr id="2" name="roundRect"/>
        <xdr:cNvSpPr/>
      </xdr:nvSpPr>
      <xdr:spPr>
        <a:xfrm>
          <a:off x="332740" y="304165"/>
          <a:ext cx="11097260" cy="1358900"/>
        </a:xfrm>
        <a:prstGeom prst="roundRect">
          <a:avLst/>
        </a:prstGeom>
        <a:noFill/>
        <a:ln w="12700" cap="flat" cmpd="sng">
          <a:solidFill>
            <a:srgbClr val="ED7C31"/>
          </a:solidFill>
          <a:prstDash val="solid"/>
          <a:miter/>
          <a:headEnd type="none" w="sm" len="sm"/>
          <a:tailEnd type="none" w="sm" len="sm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25" tIns="91425" rIns="91425" bIns="91425" anchor="ctr"/>
        <a:lstStyle/>
        <a:p>
          <a:pPr algn="l"/>
          <a:r>
            <a:rPr lang="en-US" altLang="zh-CN" sz="11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 </a:t>
          </a:r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</xdr:txBody>
    </xdr:sp>
    <xdr:clientData/>
  </xdr:twoCellAnchor>
  <xdr:twoCellAnchor>
    <xdr:from>
      <xdr:col>1</xdr:col>
      <xdr:colOff>294002</xdr:colOff>
      <xdr:row>0</xdr:row>
      <xdr:rowOff>75902</xdr:rowOff>
    </xdr:from>
    <xdr:to>
      <xdr:col>2</xdr:col>
      <xdr:colOff>1618128</xdr:colOff>
      <xdr:row>7</xdr:row>
      <xdr:rowOff>164455</xdr:rowOff>
    </xdr:to>
    <xdr:pic>
      <xdr:nvPicPr>
        <xdr:cNvPr id="3" name="image1.png" descr=" "/>
        <xdr:cNvPicPr/>
      </xdr:nvPicPr>
      <xdr:blipFill>
        <a:blip r:embed="rId1"/>
        <a:srcRect/>
        <a:stretch>
          <a:fillRect/>
        </a:stretch>
      </xdr:blipFill>
      <xdr:spPr>
        <a:xfrm>
          <a:off x="953770" y="75565"/>
          <a:ext cx="3171825" cy="1421765"/>
        </a:xfrm>
        <a:prstGeom prst="roundRect">
          <a:avLst/>
        </a:prstGeom>
        <a:noFill/>
        <a:ln w="9525" cap="flat" cmpd="sng">
          <a:noFill/>
          <a:prstDash val="solid"/>
          <a:miter/>
        </a:ln>
        <a:effectLst>
          <a:outerShdw dist="38100" dir="7800000" algn="tl" rotWithShape="0">
            <a:srgbClr val="000000">
              <a:alpha val="39999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a%20de%20IRPS%20para%20o%20Administrador%20da%20Hefel%20Lda%20Janeiro%20202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rps"/>
      <sheetName val="Sheet1"/>
    </sheetNames>
    <sheetDataSet>
      <sheetData sheetId="0">
        <row r="5">
          <cell r="N5">
            <v>7075</v>
          </cell>
        </row>
        <row r="7">
          <cell r="N7">
            <v>134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abSelected="1" zoomScale="107" zoomScaleNormal="107" topLeftCell="F14" workbookViewId="0">
      <selection activeCell="J35" sqref="J35:J36"/>
    </sheetView>
  </sheetViews>
  <sheetFormatPr defaultColWidth="9.90476190476191" defaultRowHeight="15"/>
  <cols>
    <col min="2" max="2" width="27.7047619047619" customWidth="1"/>
    <col min="3" max="3" width="39.7047619047619" customWidth="1"/>
    <col min="4" max="4" width="25.1428571428571" customWidth="1"/>
    <col min="5" max="5" width="26.7047619047619" customWidth="1"/>
    <col min="6" max="6" width="22.8571428571429" customWidth="1"/>
    <col min="7" max="7" width="10.4190476190476" customWidth="1"/>
    <col min="8" max="8" width="12.1428571428571" customWidth="1"/>
    <col min="9" max="9" width="12" customWidth="1"/>
    <col min="10" max="10" width="12.1428571428571" customWidth="1"/>
    <col min="11" max="11" width="13.2857142857143" customWidth="1"/>
    <col min="12" max="12" width="12.1428571428571" customWidth="1"/>
    <col min="13" max="13" width="11.5714285714286" customWidth="1"/>
    <col min="14" max="14" width="10" customWidth="1"/>
    <col min="15" max="15" width="12.7047619047619" customWidth="1"/>
    <col min="16" max="16" width="17.1333333333333" customWidth="1"/>
    <col min="17" max="17" width="17.2857142857143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2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15.75" spans="1:17">
      <c r="A13" s="2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ht="15.75" spans="1:17">
      <c r="A14" s="3" t="s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21"/>
    </row>
    <row r="15" spans="1:17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22"/>
    </row>
    <row r="16" ht="15.75" spans="1:17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23"/>
    </row>
    <row r="17" ht="15.75" spans="1:17">
      <c r="A17" s="9" t="s">
        <v>5</v>
      </c>
      <c r="B17" s="10" t="s">
        <v>6</v>
      </c>
      <c r="C17" s="11" t="s">
        <v>7</v>
      </c>
      <c r="D17" s="12" t="s">
        <v>8</v>
      </c>
      <c r="E17" s="12" t="s">
        <v>9</v>
      </c>
      <c r="F17" s="13" t="s">
        <v>10</v>
      </c>
      <c r="G17" s="14"/>
      <c r="H17" s="14"/>
      <c r="I17" s="14"/>
      <c r="J17" s="89"/>
      <c r="K17" s="90" t="s">
        <v>11</v>
      </c>
      <c r="L17" s="91"/>
      <c r="M17" s="91"/>
      <c r="N17" s="91"/>
      <c r="O17" s="91"/>
      <c r="P17" s="92"/>
      <c r="Q17" s="124" t="s">
        <v>12</v>
      </c>
    </row>
    <row r="18" spans="1:17">
      <c r="A18" s="15"/>
      <c r="B18" s="16"/>
      <c r="C18" s="17"/>
      <c r="D18" s="18"/>
      <c r="E18" s="18"/>
      <c r="F18" s="19" t="s">
        <v>13</v>
      </c>
      <c r="G18" s="20" t="s">
        <v>14</v>
      </c>
      <c r="H18" s="20" t="s">
        <v>15</v>
      </c>
      <c r="I18" s="93" t="s">
        <v>16</v>
      </c>
      <c r="J18" s="20" t="s">
        <v>17</v>
      </c>
      <c r="K18" s="94" t="s">
        <v>18</v>
      </c>
      <c r="L18" s="95" t="s">
        <v>19</v>
      </c>
      <c r="M18" s="96" t="s">
        <v>20</v>
      </c>
      <c r="N18" s="95" t="s">
        <v>21</v>
      </c>
      <c r="O18" s="95" t="s">
        <v>22</v>
      </c>
      <c r="P18" s="96" t="s">
        <v>23</v>
      </c>
      <c r="Q18" s="125"/>
    </row>
    <row r="19" ht="15.75" spans="1:17">
      <c r="A19" s="21">
        <v>1</v>
      </c>
      <c r="B19" s="22" t="s">
        <v>24</v>
      </c>
      <c r="C19" s="23" t="s">
        <v>25</v>
      </c>
      <c r="D19" s="24" t="s">
        <v>26</v>
      </c>
      <c r="E19" s="25">
        <v>1459112910001</v>
      </c>
      <c r="F19" s="26">
        <v>30000</v>
      </c>
      <c r="G19" s="27"/>
      <c r="H19" s="28"/>
      <c r="I19" s="27"/>
      <c r="J19" s="97">
        <f t="shared" ref="J19:J25" si="0">SUM(F19:I19)</f>
        <v>30000</v>
      </c>
      <c r="K19" s="98">
        <f>J19*3%</f>
        <v>900</v>
      </c>
      <c r="L19" s="99">
        <f>J19*4%</f>
        <v>1200</v>
      </c>
      <c r="M19" s="99"/>
      <c r="N19" s="100">
        <f>+[1]irps!$N$5</f>
        <v>7075</v>
      </c>
      <c r="O19" s="101"/>
      <c r="P19" s="102">
        <f t="shared" ref="P19:P27" si="1">K19+M19+N19+O19</f>
        <v>7975</v>
      </c>
      <c r="Q19" s="126">
        <f t="shared" ref="Q19:Q25" si="2">+J19-P19</f>
        <v>22025</v>
      </c>
    </row>
    <row r="20" ht="15.75" spans="1:17">
      <c r="A20" s="29">
        <v>2</v>
      </c>
      <c r="B20" s="30" t="s">
        <v>27</v>
      </c>
      <c r="C20" s="31" t="s">
        <v>28</v>
      </c>
      <c r="D20" s="32" t="s">
        <v>29</v>
      </c>
      <c r="E20" s="33"/>
      <c r="F20" s="34">
        <v>15000</v>
      </c>
      <c r="G20" s="35"/>
      <c r="H20" s="36"/>
      <c r="I20" s="35"/>
      <c r="J20" s="97">
        <f t="shared" si="0"/>
        <v>15000</v>
      </c>
      <c r="K20" s="98">
        <f t="shared" ref="K20:K40" si="3">J20*3%</f>
        <v>450</v>
      </c>
      <c r="L20" s="99">
        <f t="shared" ref="L20:L40" si="4">J20*4%</f>
        <v>600</v>
      </c>
      <c r="M20" s="103"/>
      <c r="N20" s="104"/>
      <c r="O20" s="105">
        <v>0</v>
      </c>
      <c r="P20" s="106">
        <f t="shared" si="1"/>
        <v>450</v>
      </c>
      <c r="Q20" s="126">
        <f t="shared" si="2"/>
        <v>14550</v>
      </c>
    </row>
    <row r="21" ht="16.5" spans="1:17">
      <c r="A21" s="29">
        <v>3</v>
      </c>
      <c r="B21" s="30" t="s">
        <v>30</v>
      </c>
      <c r="C21" s="31" t="s">
        <v>31</v>
      </c>
      <c r="D21" s="37" t="s">
        <v>32</v>
      </c>
      <c r="E21" s="33">
        <v>29981778610001</v>
      </c>
      <c r="F21" s="34">
        <f>15000</f>
        <v>15000</v>
      </c>
      <c r="G21" s="35"/>
      <c r="H21" s="36"/>
      <c r="I21" s="35"/>
      <c r="J21" s="97">
        <f t="shared" si="0"/>
        <v>15000</v>
      </c>
      <c r="K21" s="98">
        <f t="shared" si="3"/>
        <v>450</v>
      </c>
      <c r="L21" s="99">
        <f t="shared" si="4"/>
        <v>600</v>
      </c>
      <c r="M21" s="103">
        <v>0</v>
      </c>
      <c r="N21" s="104"/>
      <c r="O21" s="105">
        <v>0</v>
      </c>
      <c r="P21" s="106">
        <f t="shared" si="1"/>
        <v>450</v>
      </c>
      <c r="Q21" s="126">
        <f t="shared" si="2"/>
        <v>14550</v>
      </c>
    </row>
    <row r="22" ht="18" spans="1:17">
      <c r="A22" s="29">
        <v>4</v>
      </c>
      <c r="B22" s="30" t="s">
        <v>33</v>
      </c>
      <c r="C22" s="31" t="s">
        <v>34</v>
      </c>
      <c r="D22" s="37"/>
      <c r="E22" s="33"/>
      <c r="F22" s="34">
        <v>13500</v>
      </c>
      <c r="G22" s="35"/>
      <c r="H22" s="36"/>
      <c r="I22" s="35"/>
      <c r="J22" s="97">
        <f t="shared" si="0"/>
        <v>13500</v>
      </c>
      <c r="K22" s="98">
        <f t="shared" si="3"/>
        <v>405</v>
      </c>
      <c r="L22" s="99">
        <f t="shared" si="4"/>
        <v>540</v>
      </c>
      <c r="M22" s="103"/>
      <c r="N22" s="104"/>
      <c r="O22" s="107"/>
      <c r="P22" s="106">
        <f t="shared" si="1"/>
        <v>405</v>
      </c>
      <c r="Q22" s="126">
        <f t="shared" si="2"/>
        <v>13095</v>
      </c>
    </row>
    <row r="23" spans="1:17">
      <c r="A23" s="21">
        <v>5</v>
      </c>
      <c r="B23" s="30" t="s">
        <v>35</v>
      </c>
      <c r="C23" s="31" t="s">
        <v>36</v>
      </c>
      <c r="D23" s="37">
        <v>879373483</v>
      </c>
      <c r="E23" s="33">
        <v>17483087110001</v>
      </c>
      <c r="F23" s="34">
        <v>13500</v>
      </c>
      <c r="G23" s="35"/>
      <c r="H23" s="36"/>
      <c r="I23" s="35"/>
      <c r="J23" s="97">
        <f t="shared" si="0"/>
        <v>13500</v>
      </c>
      <c r="K23" s="98">
        <v>0</v>
      </c>
      <c r="L23" s="99">
        <v>0</v>
      </c>
      <c r="M23" s="103"/>
      <c r="N23" s="104"/>
      <c r="O23" s="105">
        <v>0</v>
      </c>
      <c r="P23" s="106">
        <f t="shared" si="1"/>
        <v>0</v>
      </c>
      <c r="Q23" s="126">
        <f t="shared" si="2"/>
        <v>13500</v>
      </c>
    </row>
    <row r="24" spans="1:17">
      <c r="A24" s="29">
        <v>6</v>
      </c>
      <c r="B24" s="30" t="s">
        <v>37</v>
      </c>
      <c r="C24" s="31" t="s">
        <v>38</v>
      </c>
      <c r="D24" s="32" t="s">
        <v>39</v>
      </c>
      <c r="E24" s="33">
        <v>7663281410001</v>
      </c>
      <c r="F24" s="34">
        <v>12400</v>
      </c>
      <c r="G24" s="35"/>
      <c r="H24" s="36"/>
      <c r="I24" s="35"/>
      <c r="J24" s="97">
        <f t="shared" si="0"/>
        <v>12400</v>
      </c>
      <c r="K24" s="98">
        <f t="shared" si="3"/>
        <v>372</v>
      </c>
      <c r="L24" s="99">
        <f t="shared" si="4"/>
        <v>496</v>
      </c>
      <c r="M24" s="103">
        <v>0</v>
      </c>
      <c r="N24" s="104"/>
      <c r="O24" s="105">
        <v>0</v>
      </c>
      <c r="P24" s="106">
        <f t="shared" si="1"/>
        <v>372</v>
      </c>
      <c r="Q24" s="126">
        <f t="shared" si="2"/>
        <v>12028</v>
      </c>
    </row>
    <row r="25" ht="18" spans="1:17">
      <c r="A25" s="29">
        <v>7</v>
      </c>
      <c r="B25" s="30" t="s">
        <v>40</v>
      </c>
      <c r="C25" s="31" t="s">
        <v>41</v>
      </c>
      <c r="D25" s="32"/>
      <c r="E25" s="33">
        <v>34258838410001</v>
      </c>
      <c r="F25" s="34">
        <v>12000</v>
      </c>
      <c r="G25" s="38"/>
      <c r="H25" s="36"/>
      <c r="I25" s="35"/>
      <c r="J25" s="97">
        <f t="shared" si="0"/>
        <v>12000</v>
      </c>
      <c r="K25" s="98">
        <f t="shared" si="3"/>
        <v>360</v>
      </c>
      <c r="L25" s="99">
        <f t="shared" si="4"/>
        <v>480</v>
      </c>
      <c r="M25" s="103"/>
      <c r="N25" s="104"/>
      <c r="O25" s="105">
        <v>0</v>
      </c>
      <c r="P25" s="106">
        <f t="shared" si="1"/>
        <v>360</v>
      </c>
      <c r="Q25" s="126">
        <f t="shared" si="2"/>
        <v>11640</v>
      </c>
    </row>
    <row r="26" ht="16.5" spans="1:17">
      <c r="A26" s="29">
        <v>8</v>
      </c>
      <c r="B26" s="30" t="s">
        <v>42</v>
      </c>
      <c r="C26" s="31" t="s">
        <v>43</v>
      </c>
      <c r="D26" s="37">
        <v>842753884</v>
      </c>
      <c r="E26" s="33"/>
      <c r="F26" s="34">
        <v>12000</v>
      </c>
      <c r="G26" s="38"/>
      <c r="H26" s="36"/>
      <c r="I26" s="35"/>
      <c r="J26" s="97">
        <f t="shared" ref="J26:J41" si="5">SUM(F26:I26)</f>
        <v>12000</v>
      </c>
      <c r="K26" s="98">
        <f t="shared" si="3"/>
        <v>360</v>
      </c>
      <c r="L26" s="99">
        <f t="shared" si="4"/>
        <v>480</v>
      </c>
      <c r="M26" s="103"/>
      <c r="N26" s="104"/>
      <c r="O26" s="105">
        <v>0</v>
      </c>
      <c r="P26" s="106">
        <f t="shared" si="1"/>
        <v>360</v>
      </c>
      <c r="Q26" s="126">
        <f t="shared" ref="Q26:Q41" si="6">+J26-P26</f>
        <v>11640</v>
      </c>
    </row>
    <row r="27" ht="16.5" spans="1:17">
      <c r="A27" s="21">
        <v>9</v>
      </c>
      <c r="B27" s="30" t="s">
        <v>44</v>
      </c>
      <c r="C27" s="31" t="s">
        <v>45</v>
      </c>
      <c r="D27" s="37">
        <v>871613888</v>
      </c>
      <c r="E27" s="33">
        <v>29982622510001</v>
      </c>
      <c r="F27" s="34">
        <v>12000</v>
      </c>
      <c r="G27" s="38"/>
      <c r="H27" s="36"/>
      <c r="I27" s="35"/>
      <c r="J27" s="97">
        <f t="shared" si="5"/>
        <v>12000</v>
      </c>
      <c r="K27" s="98">
        <f t="shared" si="3"/>
        <v>360</v>
      </c>
      <c r="L27" s="99">
        <f t="shared" si="4"/>
        <v>480</v>
      </c>
      <c r="M27" s="103"/>
      <c r="N27" s="104"/>
      <c r="O27" s="105">
        <v>0</v>
      </c>
      <c r="P27" s="106">
        <f t="shared" si="1"/>
        <v>360</v>
      </c>
      <c r="Q27" s="126">
        <f t="shared" si="6"/>
        <v>11640</v>
      </c>
    </row>
    <row r="28" spans="1:17">
      <c r="A28" s="29">
        <v>10</v>
      </c>
      <c r="B28" s="30" t="s">
        <v>46</v>
      </c>
      <c r="C28" s="31" t="s">
        <v>45</v>
      </c>
      <c r="D28" s="32">
        <v>873933384</v>
      </c>
      <c r="E28" s="33">
        <v>29982477010001</v>
      </c>
      <c r="F28" s="34">
        <v>12000</v>
      </c>
      <c r="G28" s="35"/>
      <c r="H28" s="36">
        <v>10310</v>
      </c>
      <c r="I28" s="35"/>
      <c r="J28" s="97">
        <f t="shared" si="5"/>
        <v>22310</v>
      </c>
      <c r="K28" s="98">
        <f t="shared" si="3"/>
        <v>669.3</v>
      </c>
      <c r="L28" s="99">
        <f t="shared" si="4"/>
        <v>892.4</v>
      </c>
      <c r="M28" s="103"/>
      <c r="N28" s="104">
        <f>+[1]irps!$N$7</f>
        <v>134</v>
      </c>
      <c r="O28" s="105">
        <v>0</v>
      </c>
      <c r="P28" s="106">
        <f t="shared" ref="P28:P40" si="7">K28+M28+N28+O28</f>
        <v>803.3</v>
      </c>
      <c r="Q28" s="126">
        <f t="shared" si="6"/>
        <v>21506.7</v>
      </c>
    </row>
    <row r="29" ht="15.75" spans="1:17">
      <c r="A29" s="29">
        <v>11</v>
      </c>
      <c r="B29" s="30" t="s">
        <v>47</v>
      </c>
      <c r="C29" s="31" t="s">
        <v>45</v>
      </c>
      <c r="D29" s="32" t="s">
        <v>48</v>
      </c>
      <c r="E29" s="33">
        <v>30002536610001</v>
      </c>
      <c r="F29" s="34">
        <v>12000</v>
      </c>
      <c r="G29" s="38"/>
      <c r="H29" s="36"/>
      <c r="I29" s="35"/>
      <c r="J29" s="97">
        <f t="shared" si="5"/>
        <v>12000</v>
      </c>
      <c r="K29" s="98">
        <f t="shared" si="3"/>
        <v>360</v>
      </c>
      <c r="L29" s="99">
        <f t="shared" si="4"/>
        <v>480</v>
      </c>
      <c r="M29" s="103">
        <v>2400</v>
      </c>
      <c r="N29" s="104"/>
      <c r="O29" s="105">
        <v>0</v>
      </c>
      <c r="P29" s="106">
        <f t="shared" si="7"/>
        <v>2760</v>
      </c>
      <c r="Q29" s="126">
        <f t="shared" si="6"/>
        <v>9240</v>
      </c>
    </row>
    <row r="30" ht="16.5" spans="1:17">
      <c r="A30" s="29">
        <v>12</v>
      </c>
      <c r="B30" s="30" t="s">
        <v>49</v>
      </c>
      <c r="C30" s="31" t="s">
        <v>50</v>
      </c>
      <c r="D30" s="39" t="s">
        <v>51</v>
      </c>
      <c r="E30" s="33">
        <v>30008531210001</v>
      </c>
      <c r="F30" s="34">
        <v>12000</v>
      </c>
      <c r="G30" s="35"/>
      <c r="H30" s="36"/>
      <c r="I30" s="35"/>
      <c r="J30" s="97">
        <f t="shared" si="5"/>
        <v>12000</v>
      </c>
      <c r="K30" s="98">
        <f t="shared" si="3"/>
        <v>360</v>
      </c>
      <c r="L30" s="99">
        <f t="shared" si="4"/>
        <v>480</v>
      </c>
      <c r="M30" s="103">
        <v>2000</v>
      </c>
      <c r="N30" s="104"/>
      <c r="O30" s="105">
        <v>0</v>
      </c>
      <c r="P30" s="106">
        <f t="shared" si="7"/>
        <v>2360</v>
      </c>
      <c r="Q30" s="126">
        <f t="shared" si="6"/>
        <v>9640</v>
      </c>
    </row>
    <row r="31" ht="15.75" spans="1:17">
      <c r="A31" s="21">
        <v>13</v>
      </c>
      <c r="B31" s="30" t="s">
        <v>52</v>
      </c>
      <c r="C31" s="40" t="s">
        <v>53</v>
      </c>
      <c r="D31" s="41">
        <v>843787458</v>
      </c>
      <c r="E31" s="42">
        <v>13038517010001</v>
      </c>
      <c r="F31" s="34">
        <v>12000</v>
      </c>
      <c r="G31" s="43"/>
      <c r="H31" s="44"/>
      <c r="I31" s="43"/>
      <c r="J31" s="97">
        <f t="shared" si="5"/>
        <v>12000</v>
      </c>
      <c r="K31" s="98">
        <f t="shared" si="3"/>
        <v>360</v>
      </c>
      <c r="L31" s="99">
        <f t="shared" si="4"/>
        <v>480</v>
      </c>
      <c r="M31" s="44"/>
      <c r="N31" s="108"/>
      <c r="O31" s="105">
        <v>0</v>
      </c>
      <c r="P31" s="106">
        <f t="shared" si="7"/>
        <v>360</v>
      </c>
      <c r="Q31" s="126">
        <f t="shared" si="6"/>
        <v>11640</v>
      </c>
    </row>
    <row r="32" ht="16.5" spans="1:17">
      <c r="A32" s="29">
        <v>14</v>
      </c>
      <c r="B32" s="30" t="s">
        <v>54</v>
      </c>
      <c r="C32" s="31" t="s">
        <v>53</v>
      </c>
      <c r="D32" s="45" t="s">
        <v>55</v>
      </c>
      <c r="E32" s="42">
        <v>13122131010001</v>
      </c>
      <c r="F32" s="34">
        <v>12000</v>
      </c>
      <c r="G32" s="43"/>
      <c r="H32" s="44"/>
      <c r="I32" s="43"/>
      <c r="J32" s="97">
        <f t="shared" si="5"/>
        <v>12000</v>
      </c>
      <c r="K32" s="98">
        <f t="shared" si="3"/>
        <v>360</v>
      </c>
      <c r="L32" s="99">
        <f t="shared" si="4"/>
        <v>480</v>
      </c>
      <c r="M32" s="44"/>
      <c r="N32" s="108"/>
      <c r="O32" s="105">
        <v>0</v>
      </c>
      <c r="P32" s="106">
        <f t="shared" si="7"/>
        <v>360</v>
      </c>
      <c r="Q32" s="126">
        <f t="shared" si="6"/>
        <v>11640</v>
      </c>
    </row>
    <row r="33" ht="16.5" spans="1:17">
      <c r="A33" s="29">
        <v>15</v>
      </c>
      <c r="B33" s="30" t="s">
        <v>56</v>
      </c>
      <c r="C33" s="31" t="s">
        <v>53</v>
      </c>
      <c r="D33" s="46" t="s">
        <v>57</v>
      </c>
      <c r="E33" s="42"/>
      <c r="F33" s="34">
        <v>12000</v>
      </c>
      <c r="G33" s="43"/>
      <c r="H33" s="44"/>
      <c r="I33" s="43"/>
      <c r="J33" s="97">
        <f t="shared" si="5"/>
        <v>12000</v>
      </c>
      <c r="K33" s="98">
        <f t="shared" si="3"/>
        <v>360</v>
      </c>
      <c r="L33" s="99">
        <f t="shared" si="4"/>
        <v>480</v>
      </c>
      <c r="M33" s="44"/>
      <c r="N33" s="108"/>
      <c r="O33" s="105">
        <v>0</v>
      </c>
      <c r="P33" s="106">
        <f t="shared" si="7"/>
        <v>360</v>
      </c>
      <c r="Q33" s="126">
        <f t="shared" si="6"/>
        <v>11640</v>
      </c>
    </row>
    <row r="34" ht="15.75" spans="1:17">
      <c r="A34" s="29">
        <v>16</v>
      </c>
      <c r="B34" s="30" t="s">
        <v>58</v>
      </c>
      <c r="C34" s="31" t="s">
        <v>59</v>
      </c>
      <c r="D34" s="32">
        <v>877327648</v>
      </c>
      <c r="E34" s="47">
        <v>6018840410001</v>
      </c>
      <c r="F34" s="34">
        <v>12000</v>
      </c>
      <c r="G34" s="35"/>
      <c r="H34" s="36"/>
      <c r="I34" s="35"/>
      <c r="J34" s="97">
        <f t="shared" si="5"/>
        <v>12000</v>
      </c>
      <c r="K34" s="98">
        <f t="shared" si="3"/>
        <v>360</v>
      </c>
      <c r="L34" s="99">
        <f t="shared" si="4"/>
        <v>480</v>
      </c>
      <c r="M34" s="103"/>
      <c r="N34" s="104"/>
      <c r="O34" s="105">
        <v>0</v>
      </c>
      <c r="P34" s="106">
        <f t="shared" si="7"/>
        <v>360</v>
      </c>
      <c r="Q34" s="126">
        <f t="shared" si="6"/>
        <v>11640</v>
      </c>
    </row>
    <row r="35" spans="1:17">
      <c r="A35" s="21">
        <v>17</v>
      </c>
      <c r="B35" s="30" t="s">
        <v>60</v>
      </c>
      <c r="C35" s="31" t="s">
        <v>61</v>
      </c>
      <c r="D35" s="32">
        <v>844828637</v>
      </c>
      <c r="E35" s="33">
        <v>11125764310001</v>
      </c>
      <c r="F35" s="34">
        <v>12000</v>
      </c>
      <c r="G35" s="35"/>
      <c r="H35" s="36"/>
      <c r="I35" s="35"/>
      <c r="J35" s="97">
        <f t="shared" si="5"/>
        <v>12000</v>
      </c>
      <c r="K35" s="98">
        <f t="shared" si="3"/>
        <v>360</v>
      </c>
      <c r="L35" s="99">
        <f t="shared" si="4"/>
        <v>480</v>
      </c>
      <c r="M35" s="103"/>
      <c r="N35" s="104"/>
      <c r="O35" s="105">
        <v>0</v>
      </c>
      <c r="P35" s="106">
        <f t="shared" si="7"/>
        <v>360</v>
      </c>
      <c r="Q35" s="126">
        <f t="shared" si="6"/>
        <v>11640</v>
      </c>
    </row>
    <row r="36" spans="1:17">
      <c r="A36" s="48">
        <v>18</v>
      </c>
      <c r="B36" s="49" t="s">
        <v>62</v>
      </c>
      <c r="C36" s="50" t="s">
        <v>63</v>
      </c>
      <c r="D36" s="37">
        <v>879833048</v>
      </c>
      <c r="E36" s="47">
        <v>29996687510001</v>
      </c>
      <c r="F36" s="51">
        <v>10310</v>
      </c>
      <c r="G36" s="52"/>
      <c r="H36" s="53"/>
      <c r="I36" s="52"/>
      <c r="J36" s="97">
        <f>SUM(F36:I36)</f>
        <v>10310</v>
      </c>
      <c r="K36" s="109">
        <f t="shared" si="3"/>
        <v>309.3</v>
      </c>
      <c r="L36" s="110">
        <f t="shared" si="4"/>
        <v>412.4</v>
      </c>
      <c r="M36" s="111"/>
      <c r="N36" s="112"/>
      <c r="O36" s="113">
        <v>0</v>
      </c>
      <c r="P36" s="114">
        <f t="shared" si="7"/>
        <v>309.3</v>
      </c>
      <c r="Q36" s="127">
        <f t="shared" si="6"/>
        <v>10000.7</v>
      </c>
    </row>
    <row r="37" spans="1:17">
      <c r="A37" s="29">
        <v>19</v>
      </c>
      <c r="B37" s="30" t="s">
        <v>64</v>
      </c>
      <c r="C37" s="31" t="s">
        <v>65</v>
      </c>
      <c r="D37" s="37">
        <v>871071799</v>
      </c>
      <c r="E37" s="33"/>
      <c r="F37" s="51">
        <v>10310</v>
      </c>
      <c r="G37" s="35"/>
      <c r="H37" s="36"/>
      <c r="I37" s="35"/>
      <c r="J37" s="97">
        <f t="shared" si="5"/>
        <v>10310</v>
      </c>
      <c r="K37" s="98">
        <f t="shared" si="3"/>
        <v>309.3</v>
      </c>
      <c r="L37" s="99">
        <f t="shared" si="4"/>
        <v>412.4</v>
      </c>
      <c r="M37" s="103"/>
      <c r="N37" s="104"/>
      <c r="O37" s="105">
        <v>0</v>
      </c>
      <c r="P37" s="106">
        <f t="shared" si="7"/>
        <v>309.3</v>
      </c>
      <c r="Q37" s="126">
        <f t="shared" si="6"/>
        <v>10000.7</v>
      </c>
    </row>
    <row r="38" ht="16.5" spans="1:17">
      <c r="A38" s="29">
        <v>20</v>
      </c>
      <c r="B38" s="30" t="s">
        <v>66</v>
      </c>
      <c r="C38" s="31" t="s">
        <v>65</v>
      </c>
      <c r="D38" s="37">
        <v>840461907</v>
      </c>
      <c r="E38" s="33"/>
      <c r="F38" s="51">
        <v>10310</v>
      </c>
      <c r="G38" s="35"/>
      <c r="H38" s="36"/>
      <c r="I38" s="35"/>
      <c r="J38" s="97">
        <f t="shared" si="5"/>
        <v>10310</v>
      </c>
      <c r="K38" s="98">
        <f t="shared" si="3"/>
        <v>309.3</v>
      </c>
      <c r="L38" s="99">
        <f t="shared" si="4"/>
        <v>412.4</v>
      </c>
      <c r="M38" s="103">
        <v>0</v>
      </c>
      <c r="N38" s="104"/>
      <c r="O38" s="105">
        <v>0</v>
      </c>
      <c r="P38" s="106">
        <f t="shared" si="7"/>
        <v>309.3</v>
      </c>
      <c r="Q38" s="126">
        <f t="shared" si="6"/>
        <v>10000.7</v>
      </c>
    </row>
    <row r="39" ht="16.5" spans="1:17">
      <c r="A39" s="21">
        <v>21</v>
      </c>
      <c r="B39" s="30" t="s">
        <v>67</v>
      </c>
      <c r="C39" s="31" t="s">
        <v>65</v>
      </c>
      <c r="D39" s="37">
        <v>847522202</v>
      </c>
      <c r="E39" s="33"/>
      <c r="F39" s="51">
        <v>10310</v>
      </c>
      <c r="G39" s="35"/>
      <c r="H39" s="36"/>
      <c r="I39" s="35"/>
      <c r="J39" s="97">
        <f t="shared" si="5"/>
        <v>10310</v>
      </c>
      <c r="K39" s="98">
        <f t="shared" si="3"/>
        <v>309.3</v>
      </c>
      <c r="L39" s="99">
        <f t="shared" si="4"/>
        <v>412.4</v>
      </c>
      <c r="M39" s="103">
        <v>0</v>
      </c>
      <c r="N39" s="104"/>
      <c r="O39" s="105">
        <v>0</v>
      </c>
      <c r="P39" s="106">
        <f t="shared" si="7"/>
        <v>309.3</v>
      </c>
      <c r="Q39" s="126">
        <f t="shared" si="6"/>
        <v>10000.7</v>
      </c>
    </row>
    <row r="40" ht="16.5" spans="1:17">
      <c r="A40" s="29">
        <v>22</v>
      </c>
      <c r="B40" s="54" t="s">
        <v>68</v>
      </c>
      <c r="C40" s="55" t="s">
        <v>69</v>
      </c>
      <c r="D40" s="56">
        <v>849050270</v>
      </c>
      <c r="E40" s="57">
        <v>6051607010001</v>
      </c>
      <c r="F40" s="58">
        <v>10310</v>
      </c>
      <c r="G40" s="59"/>
      <c r="H40" s="60"/>
      <c r="I40" s="59"/>
      <c r="J40" s="97">
        <f t="shared" si="5"/>
        <v>10310</v>
      </c>
      <c r="K40" s="98">
        <f t="shared" si="3"/>
        <v>309.3</v>
      </c>
      <c r="L40" s="99">
        <f t="shared" si="4"/>
        <v>412.4</v>
      </c>
      <c r="M40" s="115"/>
      <c r="N40" s="116"/>
      <c r="O40" s="117">
        <v>0</v>
      </c>
      <c r="P40" s="118">
        <f t="shared" si="7"/>
        <v>309.3</v>
      </c>
      <c r="Q40" s="126">
        <f t="shared" si="6"/>
        <v>10000.7</v>
      </c>
    </row>
    <row r="41" ht="16.5" spans="1:17">
      <c r="A41" s="61" t="s">
        <v>70</v>
      </c>
      <c r="B41" s="62"/>
      <c r="C41" s="62"/>
      <c r="D41" s="62"/>
      <c r="E41" s="63"/>
      <c r="F41" s="64">
        <f>SUM(F19:F40)</f>
        <v>282950</v>
      </c>
      <c r="G41" s="64">
        <f t="shared" ref="G41:Q41" si="8">SUM(G19:G40)</f>
        <v>0</v>
      </c>
      <c r="H41" s="64">
        <f t="shared" si="8"/>
        <v>10310</v>
      </c>
      <c r="I41" s="64">
        <f t="shared" si="8"/>
        <v>0</v>
      </c>
      <c r="J41" s="119">
        <f t="shared" si="5"/>
        <v>293260</v>
      </c>
      <c r="K41" s="64">
        <f t="shared" si="8"/>
        <v>8392.8</v>
      </c>
      <c r="L41" s="64">
        <f t="shared" si="8"/>
        <v>11190.4</v>
      </c>
      <c r="M41" s="64">
        <f t="shared" si="8"/>
        <v>4400</v>
      </c>
      <c r="N41" s="64">
        <f t="shared" si="8"/>
        <v>7209</v>
      </c>
      <c r="O41" s="64">
        <f t="shared" si="8"/>
        <v>0</v>
      </c>
      <c r="P41" s="64">
        <f t="shared" si="8"/>
        <v>20001.8</v>
      </c>
      <c r="Q41" s="128">
        <f t="shared" si="6"/>
        <v>273258.2</v>
      </c>
    </row>
    <row r="42" ht="16.5" spans="1:17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</row>
    <row r="43" ht="16.5" spans="1:16">
      <c r="A43" s="66" t="s">
        <v>71</v>
      </c>
      <c r="B43" s="67" t="s">
        <v>72</v>
      </c>
      <c r="C43" s="68"/>
      <c r="D43" s="69"/>
      <c r="F43" s="70" t="s">
        <v>73</v>
      </c>
      <c r="G43" s="70"/>
      <c r="H43" s="70"/>
      <c r="I43" s="70"/>
      <c r="J43" s="70"/>
      <c r="K43" s="70"/>
      <c r="L43" s="65"/>
      <c r="M43" s="65"/>
      <c r="N43" s="65"/>
      <c r="O43" s="65"/>
      <c r="P43" s="65"/>
    </row>
    <row r="44" ht="16.5" spans="1:16">
      <c r="A44" s="71">
        <v>1</v>
      </c>
      <c r="B44" s="72" t="s">
        <v>74</v>
      </c>
      <c r="C44" s="73">
        <f>+J41</f>
        <v>293260</v>
      </c>
      <c r="D44" s="74"/>
      <c r="F44" s="70" t="s">
        <v>75</v>
      </c>
      <c r="G44" s="70"/>
      <c r="H44" s="70"/>
      <c r="I44" s="70"/>
      <c r="J44" s="70"/>
      <c r="K44" s="70"/>
      <c r="L44" s="65"/>
      <c r="M44" s="65"/>
      <c r="N44" s="65"/>
      <c r="O44" s="65"/>
      <c r="P44" s="65"/>
    </row>
    <row r="45" ht="15.75" spans="1:16">
      <c r="A45" s="75">
        <v>2</v>
      </c>
      <c r="B45" s="76" t="s">
        <v>76</v>
      </c>
      <c r="C45" s="77">
        <f>+K41</f>
        <v>8392.8</v>
      </c>
      <c r="D45" s="74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</row>
    <row r="46" spans="1:16">
      <c r="A46" s="78"/>
      <c r="B46" s="79" t="s">
        <v>20</v>
      </c>
      <c r="C46" s="80">
        <f>+M41</f>
        <v>4400</v>
      </c>
      <c r="D46" s="74"/>
      <c r="F46" s="70" t="s">
        <v>77</v>
      </c>
      <c r="G46" s="70"/>
      <c r="H46" s="70"/>
      <c r="I46" s="70"/>
      <c r="J46" s="70"/>
      <c r="K46" s="70"/>
      <c r="L46" s="70" t="s">
        <v>78</v>
      </c>
      <c r="M46" s="70"/>
      <c r="N46" s="70"/>
      <c r="O46" s="70"/>
      <c r="P46" s="70"/>
    </row>
    <row r="47" ht="15.75" spans="1:16">
      <c r="A47" s="78"/>
      <c r="B47" s="81" t="s">
        <v>79</v>
      </c>
      <c r="C47" s="82">
        <f>+O41</f>
        <v>0</v>
      </c>
      <c r="F47" s="70" t="s">
        <v>75</v>
      </c>
      <c r="G47" s="70"/>
      <c r="H47" s="70"/>
      <c r="I47" s="70"/>
      <c r="J47" s="70"/>
      <c r="K47" s="65"/>
      <c r="L47" s="70" t="s">
        <v>80</v>
      </c>
      <c r="M47" s="70"/>
      <c r="N47" s="70"/>
      <c r="O47" s="70"/>
      <c r="P47" s="70"/>
    </row>
    <row r="48" ht="15.75" spans="1:16">
      <c r="A48" s="78"/>
      <c r="B48" s="79" t="s">
        <v>21</v>
      </c>
      <c r="C48" s="80">
        <f>+N41</f>
        <v>7209</v>
      </c>
      <c r="F48" s="70"/>
      <c r="G48" s="70"/>
      <c r="H48" s="70"/>
      <c r="I48" s="70"/>
      <c r="J48" s="70"/>
      <c r="K48" s="65"/>
      <c r="L48" s="70"/>
      <c r="M48" s="70"/>
      <c r="N48" s="70"/>
      <c r="O48" s="70"/>
      <c r="P48" s="70"/>
    </row>
    <row r="49" ht="15.75" spans="1:3">
      <c r="A49" s="83"/>
      <c r="B49" s="84" t="s">
        <v>81</v>
      </c>
      <c r="C49" s="85">
        <f>SUM(C45:C48)</f>
        <v>20001.8</v>
      </c>
    </row>
    <row r="50" ht="16.5" spans="1:16">
      <c r="A50" s="86">
        <v>3</v>
      </c>
      <c r="B50" s="87" t="s">
        <v>82</v>
      </c>
      <c r="C50" s="88">
        <f>+C44-C49</f>
        <v>273258.2</v>
      </c>
      <c r="P50" s="120"/>
    </row>
    <row r="51" ht="15.75" spans="16:16">
      <c r="P51" s="120"/>
    </row>
  </sheetData>
  <mergeCells count="23">
    <mergeCell ref="A10:Q10"/>
    <mergeCell ref="A11:Q11"/>
    <mergeCell ref="A12:Q12"/>
    <mergeCell ref="A13:Q13"/>
    <mergeCell ref="F17:J17"/>
    <mergeCell ref="K17:P17"/>
    <mergeCell ref="A41:E41"/>
    <mergeCell ref="B43:C43"/>
    <mergeCell ref="F43:K43"/>
    <mergeCell ref="F44:K44"/>
    <mergeCell ref="F46:K46"/>
    <mergeCell ref="L46:P46"/>
    <mergeCell ref="F47:J47"/>
    <mergeCell ref="L47:P47"/>
    <mergeCell ref="A17:A18"/>
    <mergeCell ref="A45:A49"/>
    <mergeCell ref="B17:B18"/>
    <mergeCell ref="C17:C18"/>
    <mergeCell ref="D17:D18"/>
    <mergeCell ref="E17:E18"/>
    <mergeCell ref="Q17:Q18"/>
    <mergeCell ref="A1:Q9"/>
    <mergeCell ref="A14:Q16"/>
  </mergeCells>
  <pageMargins left="0.699305555555556" right="0.699305555555556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GRAÇA</dc:creator>
  <cp:lastModifiedBy>henri</cp:lastModifiedBy>
  <dcterms:created xsi:type="dcterms:W3CDTF">2025-01-22T10:33:00Z</dcterms:created>
  <dcterms:modified xsi:type="dcterms:W3CDTF">2026-01-31T12:24:23Z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F8EE5830626342FC8057C2D150C5CB56_13</vt:lpwstr>
  </property>
  <property fmtid="{D5CDD505-2E9C-101B-9397-08002B2CF9AE}" pid="3" name="KSOProductBuildVer">
    <vt:lpwstr>1033-12.2.0.23196</vt:lpwstr>
  </property>
</Properties>
</file>